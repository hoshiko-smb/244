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ジャーニーマップ" sheetId="1" state="visible" r:id="rId1"/>
    <sheet xmlns:r="http://schemas.openxmlformats.org/officeDocument/2006/relationships" name="制作物一覧" sheetId="2" state="visible" r:id="rId2"/>
    <sheet xmlns:r="http://schemas.openxmlformats.org/officeDocument/2006/relationships" name="前提情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B7D3E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000000"/>
      <sz val="12"/>
    </font>
    <font>
      <name val="Arial"/>
      <b val="1"/>
      <color rgb="00FFFFFF"/>
      <sz val="11"/>
    </font>
    <font>
      <name val="Arial"/>
      <color rgb="00595959"/>
      <sz val="9"/>
    </font>
    <font>
      <name val="Arial"/>
      <b val="1"/>
      <color rgb="00FFFFFF"/>
      <sz val="10"/>
    </font>
    <font>
      <name val="Arial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86E8AF"/>
        <bgColor rgb="0086E8AF"/>
      </patternFill>
    </fill>
    <fill>
      <patternFill patternType="solid">
        <fgColor rgb="000B7D3E"/>
        <bgColor rgb="000B7D3E"/>
      </patternFill>
    </fill>
    <fill>
      <patternFill patternType="solid">
        <fgColor rgb="00D9F5E5"/>
        <bgColor rgb="00D9F5E5"/>
      </patternFill>
    </fill>
    <fill>
      <patternFill patternType="solid">
        <fgColor rgb="00FFF4D6"/>
        <bgColor rgb="00FFF4D6"/>
      </patternFill>
    </fill>
    <fill>
      <patternFill patternType="solid">
        <fgColor rgb="00F1C232"/>
        <bgColor rgb="00F1C23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2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7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8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3" fillId="8" borderId="2" applyAlignment="1" pivotButton="0" quotePrefix="0" xfId="0">
      <alignment vertical="top" wrapText="1"/>
    </xf>
    <xf numFmtId="164" fontId="3" fillId="8" borderId="2" applyAlignment="1" pivotButton="0" quotePrefix="0" xfId="0">
      <alignment vertical="top" wrapText="1"/>
    </xf>
    <xf numFmtId="0" fontId="3" fillId="8" borderId="2" applyAlignment="1" pivotButton="0" quotePrefix="0" xfId="0">
      <alignment horizontal="center" vertical="top" wrapText="1"/>
    </xf>
    <xf numFmtId="0" fontId="7" fillId="0" borderId="0" applyAlignment="1" pivotButton="0" quotePrefix="0" xfId="0">
      <alignment vertical="top" wrapText="1"/>
    </xf>
    <xf numFmtId="0" fontId="8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B7E1CD"/>
          <bgColor rgb="00B7E1CD"/>
        </patternFill>
      </fill>
    </dxf>
    <dxf>
      <fill>
        <patternFill patternType="solid">
          <fgColor rgb="00FCE8B2"/>
          <bgColor rgb="00FCE8B2"/>
        </patternFill>
      </fill>
    </dxf>
    <dxf>
      <fill>
        <patternFill patternType="solid">
          <fgColor rgb="00C9DAF8"/>
          <bgColor rgb="00C9DA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 ht="30" customHeight="1">
      <c r="A1" s="1" t="inlineStr">
        <is>
          <t>国際テクノロジーセンター 新卒採用 キャンディデイト・ジャーニーマップ</t>
        </is>
      </c>
    </row>
    <row r="2" ht="20" customHeight="1">
      <c r="A2" s="2" t="inlineStr">
        <is>
          <t>対象</t>
        </is>
      </c>
      <c r="B2" s="3" t="inlineStr">
        <is>
          <t>27卒で秋以降も就職活動を続けている、文理不問・IT未経験の学生（募集コース：インフラエンジニア、1〜5名）</t>
        </is>
      </c>
    </row>
    <row r="3" ht="20" customHeight="1">
      <c r="A3" s="2" t="inlineStr">
        <is>
          <t>採用コンセプト（案）</t>
        </is>
      </c>
      <c r="B3" s="4" t="inlineStr">
        <is>
          <t>未経験から、社会のITインフラを支えるエンジニアへ。</t>
        </is>
      </c>
    </row>
    <row r="4" ht="30" customHeight="1">
      <c r="A4" s="2" t="inlineStr">
        <is>
          <t>訴求の軸</t>
        </is>
      </c>
      <c r="B4" s="3" t="inlineStr">
        <is>
          <t>①文理不問・未経験から研修で育つ（資格取得支援・自己啓発制度）　②ITインフラを支える仕事と、PM・ITコンサルタントまで広がるキャリア　③社長が説明会に出る、顔の見える約100名の会社　④年間休日125日・リモートワーク・住宅手当一律3万円　⑤筆記なし・面接2回・1カ月以内のスピード選考</t>
        </is>
      </c>
    </row>
    <row r="5" ht="8" customHeight="1"/>
    <row r="6" ht="32" customHeight="1">
      <c r="A6" s="5" t="inlineStr"/>
      <c r="B6" s="6" t="inlineStr">
        <is>
          <t>① エントリー</t>
        </is>
      </c>
      <c r="C6" s="6" t="inlineStr">
        <is>
          <t>② 説明会</t>
        </is>
      </c>
      <c r="D6" s="6" t="inlineStr">
        <is>
          <t>③ 1次選考</t>
        </is>
      </c>
      <c r="E6" s="6" t="inlineStr">
        <is>
          <t>④ 最終選考</t>
        </is>
      </c>
      <c r="F6" s="6" t="inlineStr">
        <is>
          <t>⑤ 内定</t>
        </is>
      </c>
    </row>
    <row r="7" ht="70" customHeight="1">
      <c r="A7" s="7" t="inlineStr">
        <is>
          <t>フェーズ</t>
        </is>
      </c>
      <c r="B7" s="8" t="inlineStr">
        <is>
          <t>マイナビで企業を知り、エントリーして説明会を予約するまで（秋採用は「内定式間に合います」「最短10月中に内定」で告知中）</t>
        </is>
      </c>
      <c r="C7" s="8" t="inlineStr">
        <is>
          <t>対面（五反田本社）またはWEBの説明会に参加（社長が出席）。選考に進むかを決める</t>
        </is>
      </c>
      <c r="D7" s="8" t="inlineStr">
        <is>
          <t>マイキャリBox（MCB）でES提出 → 一次面接（個別、対面・遠方はWEB可）。筆記・適性検査なし</t>
        </is>
      </c>
      <c r="E7" s="8" t="inlineStr">
        <is>
          <t>最終面接（個別、対面・遠方はWEB可）。結果は面接から1週間以内に連絡</t>
        </is>
      </c>
      <c r="F7" s="8" t="inlineStr">
        <is>
          <t>内々定の連絡から承諾、入社まで（エントリーから内々定までは1カ月以内）</t>
        </is>
      </c>
    </row>
    <row r="8" ht="130" customHeight="1">
      <c r="A8" s="7" t="inlineStr">
        <is>
          <t>タッチポイント</t>
        </is>
      </c>
      <c r="B8" s="8" t="inlineStr">
        <is>
          <t>・マイナビ2027の検索結果・企業ページ・募集コース（インフラエンジニア）
・採用公式X
・エントリー直後の自動返信メール
・説明会の案内文・予約ページ（WEBは予約後にURLを送付）
・公式サイト、口コミサイト（学生が自分で下調べ）</t>
        </is>
      </c>
      <c r="C8" s="8" t="inlineStr">
        <is>
          <t>・会社説明会（対面：五反田本社／WEB）
・社長、人事（HR事業部）
・説明会スライド
・参加後アンケート
・ES提出（MCB）の案内</t>
        </is>
      </c>
      <c r="D8" s="8" t="inlineStr">
        <is>
          <t>・MCBでのES提出
・面接日程の調整メール
・一次面接の面接官
・本社オフィス（五反田駅徒歩2分）またはWEB面接
・合否連絡</t>
        </is>
      </c>
      <c r="E8" s="8" t="inlineStr">
        <is>
          <t>・最終面接の面接官（経営層を想定）
・面接日程の連絡
・先輩社員との質問会、会社見学（希望者）
・合否連絡（1週間以内）</t>
        </is>
      </c>
      <c r="F8" s="8" t="inlineStr">
        <is>
          <t>・内々定の連絡（電話・メール）
・人事との個別面談
・先輩社員との懇談会、内定式
・入社前の資格学習の案内
・人事からの定期連絡</t>
        </is>
      </c>
    </row>
    <row r="9" ht="160" customHeight="1">
      <c r="A9" s="7" t="inlineStr">
        <is>
          <t>思考・感情</t>
        </is>
      </c>
      <c r="B9" s="8" t="inlineStr">
        <is>
          <t>【焦りと様子見】
・周りは内定が出始めていて焦っている。今からでも間に合う会社を探したい
・IT業界に興味はあるが、文系・未経験でもやっていけるか不安
・初めて聞く社名。何をしている会社なのか分からない
・似たようなIT企業が多く、違いが見えない</t>
        </is>
      </c>
      <c r="C9" s="8" t="inlineStr">
        <is>
          <t>【興味と不安が半々】
・インフラエンジニアは具体的にどんな仕事？1日の流れは？
・研修だけで、未経験から本当にエンジニアになれるのか
・「技術派遣あり」とある。お客様先で働くのはどんな感じか
・固定残業30時間とあるが、実際の残業はどれくらいか。口コミも気になる
・選考に進むかどうか迷う</t>
        </is>
      </c>
      <c r="D9" s="8" t="inlineStr">
        <is>
          <t>【緊張・評価への不安】
・IT知識がないと評価されないのでは
・志望動機がまだ固まっておらず、ESに何を書けばいいか迷う
・面接官はどんな人か、雰囲気が自分に合うかを見たい
・結果がいつ来るのか気になる</t>
        </is>
      </c>
      <c r="E9" s="8" t="inlineStr">
        <is>
          <t>【比較・見極め】
・この会社で長く働けるか、成長できるかを確かめたい
・他社の選考も進んでおり、初任給・休日・手当などを比べて決めたい
・配属先（お客様先のプロジェクトか社内チームか）や入社後のキャリアが気になる
・経営層との面接で緊張する</t>
        </is>
      </c>
      <c r="F9" s="8" t="inlineStr">
        <is>
          <t>【安心と迷い】
・本当にこの会社でいいのか（他社との比較、家族の意見）
・入社までに何を勉強しておけばいいか（CCNA、LPIC、AWSなど）
・同期はどんな人か、うまくやっていけるか
・入社後の研修・配属が不安</t>
        </is>
      </c>
    </row>
    <row r="10" ht="175" customHeight="1">
      <c r="A10" s="7" t="inlineStr">
        <is>
          <t>訴求
（与える印象）</t>
        </is>
      </c>
      <c r="B10" s="9" t="inlineStr">
        <is>
          <t>・「文理不問・IT未経験でも、研修からインフラエンジニアを目指せる会社」
・「今からでも間に合う。1カ月以内に内々定まで進める」
・「エントリー直後から連絡が早く、丁寧に対応してくれる会社」</t>
        </is>
      </c>
      <c r="C10" s="9" t="inlineStr">
        <is>
          <t>・「社長が自ら説明会に出て、会社の考えを直接話してくれる」
・「入社後の仕事と育ち方が具体的に分かる」（研修 → 基本業務 → 構築・設計 → PM・ITコンサルタント）
・「働き方を包み隠さず話してくれる誠実な会社」（実際の残業時間、お客様先と社内チームの違い、年間休日125日、リモートワーク）
・「選考は筆記なし・面接2回なので、気軽に次へ進める」</t>
        </is>
      </c>
      <c r="D10" s="9" t="inlineStr">
        <is>
          <t>・「知識量ではなく、主体性・素直さ・明るさ・努力を惜しまない姿勢を見てくれる」
・「面接官が話しやすく、この人たちと働きたいと思える」
・「連絡が早く、一人の候補者として大事にされている」</t>
        </is>
      </c>
      <c r="E10" s="9" t="inlineStr">
        <is>
          <t>・「経営層が、自分の入社後の成長まで考えてくれている」
・「資格取得支援や自己啓発制度、＋1評価制度があり、努力が評価と収入につながる」
・「この会社で働く自分を具体的にイメージできる」</t>
        </is>
      </c>
      <c r="F10" s="9" t="inlineStr">
        <is>
          <t>・「内定で終わらず、入社後の成長まで伴走してくれる会社」
・「同期や先輩とつながりができ、入社が楽しみになる」（社員旅行・BBQ・忘年会などのコミュニティ制度）
・「入社までに何をすればいいか分かり、不安がない」</t>
        </is>
      </c>
    </row>
    <row r="11" ht="55" customHeight="1">
      <c r="A11" s="7" t="inlineStr">
        <is>
          <t>手段
（制作物）</t>
        </is>
      </c>
      <c r="B11" s="10" t="inlineStr">
        <is>
          <t>・マイナビ原稿
・説明会文章
・オートリプライ</t>
        </is>
      </c>
      <c r="C11" s="10" t="inlineStr">
        <is>
          <t>・説明会スライド
・アンケート</t>
        </is>
      </c>
      <c r="D11" s="10" t="inlineStr">
        <is>
          <t>・管理シート
・一次面接シート</t>
        </is>
      </c>
      <c r="E11" s="10" t="inlineStr">
        <is>
          <t>・管理シート
・最終面接シート</t>
        </is>
      </c>
      <c r="F11" s="10" t="inlineStr">
        <is>
          <t>・内定者フォロースケジュール（個別）
・内定者フォロースケジュール（全員）</t>
        </is>
      </c>
    </row>
    <row r="13">
      <c r="A13" s="11" t="inlineStr">
        <is>
          <t>企業情報の出典は「前提情報」タブ、制作物ごとの目的・盛り込み内容・進捗は「制作物一覧」タブにまとめています。</t>
        </is>
      </c>
    </row>
  </sheetData>
  <mergeCells count="5">
    <mergeCell ref="B4:F4"/>
    <mergeCell ref="B2:F2"/>
    <mergeCell ref="A13:F13"/>
    <mergeCell ref="A1:F1"/>
    <mergeCell ref="B3:F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30" customWidth="1" min="4" max="4"/>
    <col width="30" customWidth="1" min="5" max="5"/>
    <col width="46" customWidth="1" min="6" max="6"/>
    <col width="22" customWidth="1" min="7" max="7"/>
    <col width="24" customWidth="1" min="8" max="8"/>
    <col width="10" customWidth="1" min="9" max="9"/>
    <col width="12" customWidth="1" min="10" max="10"/>
    <col width="12" customWidth="1" min="11" max="11"/>
    <col width="24" customWidth="1" min="12" max="12"/>
  </cols>
  <sheetData>
    <row r="1" ht="30" customHeight="1">
      <c r="A1" s="1" t="inlineStr">
        <is>
          <t>制作物一覧（フェーズ別）</t>
        </is>
      </c>
    </row>
    <row r="2">
      <c r="A2" s="11" t="inlineStr">
        <is>
          <t>黄色の列（担当・期限・ステータス・メモ）は記入欄です。ステータスはプルダウンから選べます。</t>
        </is>
      </c>
    </row>
    <row r="3">
      <c r="C3" s="12" t="inlineStr">
        <is>
          <t>完了した制作物</t>
        </is>
      </c>
      <c r="D3" s="13">
        <f>COUNTIF($K$6:$K$100,"完了")&amp;" / "&amp;COUNTA($C$6:$C$100)&amp;" 件"</f>
        <v/>
      </c>
    </row>
    <row r="5" ht="26" customHeight="1">
      <c r="A5" s="14" t="inlineStr">
        <is>
          <t>No</t>
        </is>
      </c>
      <c r="B5" s="14" t="inlineStr">
        <is>
          <t>フェーズ</t>
        </is>
      </c>
      <c r="C5" s="14" t="inlineStr">
        <is>
          <t>制作物</t>
        </is>
      </c>
      <c r="D5" s="14" t="inlineStr">
        <is>
          <t>目的</t>
        </is>
      </c>
      <c r="E5" s="14" t="inlineStr">
        <is>
          <t>与えたい印象</t>
        </is>
      </c>
      <c r="F5" s="14" t="inlineStr">
        <is>
          <t>主な盛り込み内容</t>
        </is>
      </c>
      <c r="G5" s="14" t="inlineStr">
        <is>
          <t>使うタイミング</t>
        </is>
      </c>
      <c r="H5" s="14" t="inlineStr">
        <is>
          <t>確認する数字</t>
        </is>
      </c>
      <c r="I5" s="15" t="inlineStr">
        <is>
          <t>担当</t>
        </is>
      </c>
      <c r="J5" s="15" t="inlineStr">
        <is>
          <t>期限</t>
        </is>
      </c>
      <c r="K5" s="15" t="inlineStr">
        <is>
          <t>ステータス</t>
        </is>
      </c>
      <c r="L5" s="15" t="inlineStr">
        <is>
          <t>メモ</t>
        </is>
      </c>
    </row>
    <row r="6" ht="310" customHeight="1">
      <c r="A6" s="16" t="n">
        <v>1</v>
      </c>
      <c r="B6" s="17" t="inlineStr">
        <is>
          <t>エントリー</t>
        </is>
      </c>
      <c r="C6" s="18" t="inlineStr">
        <is>
          <t>マイナビ原稿</t>
        </is>
      </c>
      <c r="D6" s="17" t="inlineStr">
        <is>
          <t>母集団形成。検索で見つけてもらい、エントリーにつなげる</t>
        </is>
      </c>
      <c r="E6" s="17" t="inlineStr">
        <is>
          <t>「文理不問・IT未経験でも、研修からインフラエンジニアを目指せる会社」</t>
        </is>
      </c>
      <c r="F6" s="17" t="inlineStr">
        <is>
          <t>・キャッチコピー（採用コンセプト）
・インフラエンジニアの仕事内容とキャリア（基本業務 → 構築・設計 → PM・ITコンサルタント）
・求める人物像（主体的、素直、明るく努力できる人）
・待遇（年間休日125日、住宅手当一律3万円、リモートワーク）
・選考フロー（筆記なし・面接2回・1カ月以内に内々定）
【現原稿への追記候補】
・説明会に社長が出席、先輩社員との質問会があることを冒頭で打ち出す
・研修の期間と内容（未経験者の不安に答える部分）
・固定残業30時間に対する実際の平均残業時間
・技術派遣（お客様先のプロジェクト）と社内チームの割合、お客様先でのサポート体制
・人物像の長文の前に、4つのキーワードを見出しで置く</t>
        </is>
      </c>
      <c r="G6" s="17" t="inlineStr">
        <is>
          <t>掲載期間中（随時更新）</t>
        </is>
      </c>
      <c r="H6" s="17" t="inlineStr">
        <is>
          <t>企業ページPV数、エントリー数、エントリー率</t>
        </is>
      </c>
      <c r="I6" s="19" t="n"/>
      <c r="J6" s="20" t="n"/>
      <c r="K6" s="21" t="inlineStr">
        <is>
          <t>未着手</t>
        </is>
      </c>
      <c r="L6" s="19" t="n"/>
    </row>
    <row r="7" ht="145" customHeight="1">
      <c r="A7" s="16" t="n">
        <v>2</v>
      </c>
      <c r="B7" s="17" t="inlineStr">
        <is>
          <t>エントリー</t>
        </is>
      </c>
      <c r="C7" s="18" t="inlineStr">
        <is>
          <t>説明会文章</t>
        </is>
      </c>
      <c r="D7" s="17" t="inlineStr">
        <is>
          <t>エントリー者に説明会を予約してもらう</t>
        </is>
      </c>
      <c r="E7" s="17" t="inlineStr">
        <is>
          <t>「気軽に参加できて、参加すれば得るものがある」</t>
        </is>
      </c>
      <c r="F7" s="17" t="inlineStr">
        <is>
          <t>・説明会に社長が出席すること
・説明会で分かること（仕事内容、研修、キャリア、働き方）
・開催形式（対面：五反田本社／WEB）と所要時間
・説明会後に選考へ進める流れ（最短10月中に内定）
・服装・持ち物、WEBの場合は予約後にURLを送ること</t>
        </is>
      </c>
      <c r="G7" s="17" t="inlineStr">
        <is>
          <t>エントリー直後〜説明会前日</t>
        </is>
      </c>
      <c r="H7" s="17" t="inlineStr">
        <is>
          <t>説明会予約率、説明会参加率</t>
        </is>
      </c>
      <c r="I7" s="19" t="n"/>
      <c r="J7" s="20" t="n"/>
      <c r="K7" s="21" t="inlineStr">
        <is>
          <t>未着手</t>
        </is>
      </c>
      <c r="L7" s="19" t="n"/>
    </row>
    <row r="8" ht="70" customHeight="1">
      <c r="A8" s="16" t="n">
        <v>3</v>
      </c>
      <c r="B8" s="17" t="inlineStr">
        <is>
          <t>エントリー</t>
        </is>
      </c>
      <c r="C8" s="18" t="inlineStr">
        <is>
          <t>オートリプライ</t>
        </is>
      </c>
      <c r="D8" s="17" t="inlineStr">
        <is>
          <t>関心が高いうちに、次の行動（説明会予約）を案内する</t>
        </is>
      </c>
      <c r="E8" s="17" t="inlineStr">
        <is>
          <t>「連絡が早く、丁寧に対応してくれる会社」</t>
        </is>
      </c>
      <c r="F8" s="17" t="inlineStr">
        <is>
          <t>・エントリーへのお礼
・会社の紹介（ひとこと）
・説明会日程と予約URL
・問い合わせ先（人事担当者名）</t>
        </is>
      </c>
      <c r="G8" s="17" t="inlineStr">
        <is>
          <t>エントリー直後（自動送信）</t>
        </is>
      </c>
      <c r="H8" s="17" t="inlineStr">
        <is>
          <t>オートリプライ経由の説明会予約率</t>
        </is>
      </c>
      <c r="I8" s="19" t="n"/>
      <c r="J8" s="20" t="n"/>
      <c r="K8" s="21" t="inlineStr">
        <is>
          <t>未着手</t>
        </is>
      </c>
      <c r="L8" s="19" t="n"/>
    </row>
    <row r="9" ht="205" customHeight="1">
      <c r="A9" s="16" t="n">
        <v>4</v>
      </c>
      <c r="B9" s="17" t="inlineStr">
        <is>
          <t>説明会</t>
        </is>
      </c>
      <c r="C9" s="18" t="inlineStr">
        <is>
          <t>説明会スライド</t>
        </is>
      </c>
      <c r="D9" s="17" t="inlineStr">
        <is>
          <t>仕事・研修・キャリアを理解してもらい、選考に進む理由をつくる</t>
        </is>
      </c>
      <c r="E9" s="17" t="inlineStr">
        <is>
          <t>「入社後の仕事と育ち方が具体的に分かる」「働き方を包み隠さず話してくれる誠実な会社」</t>
        </is>
      </c>
      <c r="F9" s="17" t="inlineStr">
        <is>
          <t>・社長からのメッセージ（会社の考え、新卒に期待すること）
・会社概要と沿革（建設コンサルタント → 受託開発 → アプリ開発・インフラ）
・インフラエンジニアの仕事と1日の流れ（お客様先のプロジェクト／社内チームの両方）
・研修と資格取得支援、キャリア（基本業務 → 構築・設計 → PM・ITコンサルタント）
・働き方と待遇（実際の残業時間と固定残業の説明、年間休日125日、リモートワーク、住宅手当）
・選考フローと日程
・質疑応答</t>
        </is>
      </c>
      <c r="G9" s="17" t="inlineStr">
        <is>
          <t>説明会当日</t>
        </is>
      </c>
      <c r="H9" s="17" t="inlineStr">
        <is>
          <t>説明会後のES提出率</t>
        </is>
      </c>
      <c r="I9" s="19" t="n"/>
      <c r="J9" s="20" t="n"/>
      <c r="K9" s="21" t="inlineStr">
        <is>
          <t>未着手</t>
        </is>
      </c>
      <c r="L9" s="19" t="n"/>
    </row>
    <row r="10" ht="85" customHeight="1">
      <c r="A10" s="16" t="n">
        <v>5</v>
      </c>
      <c r="B10" s="17" t="inlineStr">
        <is>
          <t>説明会</t>
        </is>
      </c>
      <c r="C10" s="18" t="inlineStr">
        <is>
          <t>アンケート</t>
        </is>
      </c>
      <c r="D10" s="17" t="inlineStr">
        <is>
          <t>志望度と不安を把握し、選考や面接での伝え方に反映する</t>
        </is>
      </c>
      <c r="E10" s="17" t="inlineStr">
        <is>
          <t>「自分の声を聞いてくれる会社」</t>
        </is>
      </c>
      <c r="F10" s="17" t="inlineStr">
        <is>
          <t>・志望度（5段階）
・印象に残った点
・不安・疑問に思った点
・選考への参加意向
・一次面接の希望日時</t>
        </is>
      </c>
      <c r="G10" s="17" t="inlineStr">
        <is>
          <t>説明会直後</t>
        </is>
      </c>
      <c r="H10" s="17" t="inlineStr">
        <is>
          <t>回答率、志望度の平均、選考参加意向の割合</t>
        </is>
      </c>
      <c r="I10" s="19" t="n"/>
      <c r="J10" s="20" t="n"/>
      <c r="K10" s="21" t="inlineStr">
        <is>
          <t>未着手</t>
        </is>
      </c>
      <c r="L10" s="19" t="n"/>
    </row>
    <row r="11" ht="100" customHeight="1">
      <c r="A11" s="16" t="n">
        <v>6</v>
      </c>
      <c r="B11" s="17" t="inlineStr">
        <is>
          <t>1次選考・最終選考</t>
        </is>
      </c>
      <c r="C11" s="18" t="inlineStr">
        <is>
          <t>管理シート</t>
        </is>
      </c>
      <c r="D11" s="17" t="inlineStr">
        <is>
          <t>応募者ごとの進捗・評価・連絡状況を一元管理し、連絡の遅れや漏れを防ぐ</t>
        </is>
      </c>
      <c r="E11" s="17" t="inlineStr">
        <is>
          <t>（学生には直接見えない）連絡の早さ・漏れのなさとして伝わる</t>
        </is>
      </c>
      <c r="F11" s="17" t="inlineStr">
        <is>
          <t>・氏名、学校、エントリー日
・説明会参加日、アンケート結果
・ES提出日
・一次・最終面接の日程、面接官、評価
・合否連絡日
・辞退理由、次のアクション</t>
        </is>
      </c>
      <c r="G11" s="17" t="inlineStr">
        <is>
          <t>エントリー〜内定まで随時更新</t>
        </is>
      </c>
      <c r="H11" s="17" t="inlineStr">
        <is>
          <t>フェーズごとの通過率、辞退率、合否連絡までの日数</t>
        </is>
      </c>
      <c r="I11" s="19" t="n"/>
      <c r="J11" s="20" t="n"/>
      <c r="K11" s="21" t="inlineStr">
        <is>
          <t>未着手</t>
        </is>
      </c>
      <c r="L11" s="19" t="n"/>
    </row>
    <row r="12" ht="160" customHeight="1">
      <c r="A12" s="16" t="n">
        <v>7</v>
      </c>
      <c r="B12" s="17" t="inlineStr">
        <is>
          <t>1次選考</t>
        </is>
      </c>
      <c r="C12" s="18" t="inlineStr">
        <is>
          <t>一次面接シート</t>
        </is>
      </c>
      <c r="D12" s="17" t="inlineStr">
        <is>
          <t>面接官ごとの評価基準をそろえ、学生の不安を聞き出す</t>
        </is>
      </c>
      <c r="E12" s="17" t="inlineStr">
        <is>
          <t>「知識量ではなく、主体性・素直さ・明るさ・努力を惜しまない姿勢を見てくれる」</t>
        </is>
      </c>
      <c r="F12" s="17" t="inlineStr">
        <is>
          <t>・評価項目（求める人物像の4項目：主体性、素直さ、明るさ、努力を惜しまない姿勢）と基準
・ITへの関心、学習経験（CCNA・LPIC・AWSなどの学習があれば加点）
・質問例
・学生に伝えるポイント（研修、キャリア、働き方）
・逆質問・不安点のメモ
・最終面接への申し送り</t>
        </is>
      </c>
      <c r="G12" s="17" t="inlineStr">
        <is>
          <t>一次面接当日</t>
        </is>
      </c>
      <c r="H12" s="17" t="inlineStr">
        <is>
          <t>一次面接の通過率、面接後の辞退率</t>
        </is>
      </c>
      <c r="I12" s="19" t="n"/>
      <c r="J12" s="20" t="n"/>
      <c r="K12" s="21" t="inlineStr">
        <is>
          <t>未着手</t>
        </is>
      </c>
      <c r="L12" s="19" t="n"/>
    </row>
    <row r="13" ht="115" customHeight="1">
      <c r="A13" s="16" t="n">
        <v>8</v>
      </c>
      <c r="B13" s="17" t="inlineStr">
        <is>
          <t>最終選考</t>
        </is>
      </c>
      <c r="C13" s="18" t="inlineStr">
        <is>
          <t>最終面接シート</t>
        </is>
      </c>
      <c r="D13" s="17" t="inlineStr">
        <is>
          <t>入社意欲と長く働けるかを見極め、入社の決め手をつくる</t>
        </is>
      </c>
      <c r="E13" s="17" t="inlineStr">
        <is>
          <t>「経営層が、自分の入社後の成長まで考えてくれている」</t>
        </is>
      </c>
      <c r="F13" s="17" t="inlineStr">
        <is>
          <t>・一次面接からの申し送り（評価、不安点）
・確認項目（志望度、他社の選考状況、キャリア観、懸念点）
・経営層から伝えるメッセージ（会社のこれから、期待する役割、評価制度）
・先輩社員との質問会・会社見学の案内要否
・合否判断欄</t>
        </is>
      </c>
      <c r="G13" s="17" t="inlineStr">
        <is>
          <t>最終面接当日</t>
        </is>
      </c>
      <c r="H13" s="17" t="inlineStr">
        <is>
          <t>最終面接の通過率、内々定までの日数</t>
        </is>
      </c>
      <c r="I13" s="19" t="n"/>
      <c r="J13" s="20" t="n"/>
      <c r="K13" s="21" t="inlineStr">
        <is>
          <t>未着手</t>
        </is>
      </c>
      <c r="L13" s="19" t="n"/>
    </row>
    <row r="14" ht="85" customHeight="1">
      <c r="A14" s="16" t="n">
        <v>9</v>
      </c>
      <c r="B14" s="17" t="inlineStr">
        <is>
          <t>内定</t>
        </is>
      </c>
      <c r="C14" s="18" t="inlineStr">
        <is>
          <t>内定者フォロースケジュール（個別）</t>
        </is>
      </c>
      <c r="D14" s="17" t="inlineStr">
        <is>
          <t>一人ひとりの不安を解消し、内定承諾・入社につなげる</t>
        </is>
      </c>
      <c r="E14" s="17" t="inlineStr">
        <is>
          <t>「内定で終わらず、入社後の成長まで伴走してくれる会社」</t>
        </is>
      </c>
      <c r="F14" s="17" t="inlineStr">
        <is>
          <t>・内々定通知後の個別面談
・承諾前のフォロー（他社比較、家族の不安への対応）
・定期連絡（例：月1回）
・学習・資格取得の進み具合の確認</t>
        </is>
      </c>
      <c r="G14" s="17" t="inlineStr">
        <is>
          <t>内々定〜入社</t>
        </is>
      </c>
      <c r="H14" s="17" t="inlineStr">
        <is>
          <t>内定承諾率、内定辞退率</t>
        </is>
      </c>
      <c r="I14" s="19" t="n"/>
      <c r="J14" s="20" t="n"/>
      <c r="K14" s="21" t="inlineStr">
        <is>
          <t>未着手</t>
        </is>
      </c>
      <c r="L14" s="19" t="n"/>
    </row>
    <row r="15" ht="115" customHeight="1">
      <c r="A15" s="16" t="n">
        <v>10</v>
      </c>
      <c r="B15" s="17" t="inlineStr">
        <is>
          <t>内定</t>
        </is>
      </c>
      <c r="C15" s="18" t="inlineStr">
        <is>
          <t>内定者フォロースケジュール（全員）</t>
        </is>
      </c>
      <c r="D15" s="17" t="inlineStr">
        <is>
          <t>同期・社員とのつながりをつくり、入社前の準備を進めてもらう</t>
        </is>
      </c>
      <c r="E15" s="17" t="inlineStr">
        <is>
          <t>「同期や先輩とつながりができ、入社が楽しみになる」</t>
        </is>
      </c>
      <c r="F15" s="17" t="inlineStr">
        <is>
          <t>・内定式
・内定者懇親会、先輩社員との懇談会
・社内行事への招待（花見・BBQ・忘年会などのコミュニティ制度）
・入社前課題（例：CCNA、LPIC、AWSなどの資格学習）
・入社前研修の案内</t>
        </is>
      </c>
      <c r="G15" s="17" t="inlineStr">
        <is>
          <t>内定承諾後〜入社</t>
        </is>
      </c>
      <c r="H15" s="17" t="inlineStr">
        <is>
          <t>イベント参加率、入社前課題の提出率、入社率</t>
        </is>
      </c>
      <c r="I15" s="19" t="n"/>
      <c r="J15" s="20" t="n"/>
      <c r="K15" s="21" t="inlineStr">
        <is>
          <t>未着手</t>
        </is>
      </c>
      <c r="L15" s="19" t="n"/>
    </row>
  </sheetData>
  <mergeCells count="2">
    <mergeCell ref="A2:H2"/>
    <mergeCell ref="A1:H1"/>
  </mergeCells>
  <conditionalFormatting sqref="K6:K100">
    <cfRule type="cellIs" priority="1" operator="equal" dxfId="0">
      <formula>"完了"</formula>
    </cfRule>
    <cfRule type="cellIs" priority="2" operator="equal" dxfId="1">
      <formula>"作成中"</formula>
    </cfRule>
    <cfRule type="cellIs" priority="3" operator="equal" dxfId="2">
      <formula>"レビュー中"</formula>
    </cfRule>
  </conditionalFormatting>
  <dataValidations count="1">
    <dataValidation sqref="K6:K100" showDropDown="0" showInputMessage="0" showErrorMessage="0" allowBlank="1" error="リストから選んでください" type="list">
      <formula1>"未着手,作成中,レビュー中,完了"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56" customWidth="1" min="3" max="3"/>
  </cols>
  <sheetData>
    <row r="1" ht="30" customHeight="1">
      <c r="A1" s="1" t="inlineStr">
        <is>
          <t>前提情報（企業・選考）</t>
        </is>
      </c>
    </row>
    <row r="2" ht="30" customHeight="1">
      <c r="A2" s="22" t="inlineStr">
        <is>
          <t>確認日：2026/10/19。募集・選考・待遇はマイナビ2027原稿（インフラエンジニア：最終更新日2026/10/5、開発エンジニア：受付終了）から、会社の沿革・規模・研修はWeb上の掲載情報から転記しています。</t>
        </is>
      </c>
    </row>
    <row r="4" ht="24" customHeight="1">
      <c r="A4" s="23" t="inlineStr">
        <is>
          <t>項目</t>
        </is>
      </c>
      <c r="B4" s="23" t="inlineStr">
        <is>
          <t>内容</t>
        </is>
      </c>
      <c r="C4" s="23" t="inlineStr">
        <is>
          <t>出典</t>
        </is>
      </c>
    </row>
    <row r="5" ht="40" customHeight="1">
      <c r="A5" s="18" t="inlineStr">
        <is>
          <t>社名</t>
        </is>
      </c>
      <c r="B5" s="17" t="inlineStr">
        <is>
          <t>株式会社国際テクノロジーセンター</t>
        </is>
      </c>
      <c r="C5" s="24" t="inlineStr">
        <is>
          <t>マイナビ2027 原稿（インフラエンジニア、最終更新日2026/10/5）。提供いただいたHTML・PDF</t>
        </is>
      </c>
    </row>
    <row r="6" ht="85" customHeight="1">
      <c r="A6" s="18" t="inlineStr">
        <is>
          <t>募集コース</t>
        </is>
      </c>
      <c r="B6" s="17" t="inlineStr">
        <is>
          <t>インフラエンジニア：受付中。文理不問・IT未経験歓迎。筆記・適性検査なし
開発エンジニア：受付終了。情報系の学校の学生を積極採用。筆記試験あり（WEB受験）
募集人数 1〜5名、勤務地 東京、転居を伴う転勤なし</t>
        </is>
      </c>
      <c r="C6" s="24" t="inlineStr">
        <is>
          <t>マイナビ2027 原稿（インフラエンジニア、最終更新日2026/10/5）。提供いただいたHTML・PDF
マイナビ2027 原稿（開発エンジニア）。提供いただいたPDF</t>
        </is>
      </c>
    </row>
    <row r="7" ht="40" customHeight="1">
      <c r="A7" s="18" t="inlineStr">
        <is>
          <t>告知の打ち出し</t>
        </is>
      </c>
      <c r="B7" s="17" t="inlineStr">
        <is>
          <t>「内定式間に合います！」「＊選考直結案内も！＊IT企業／WEB会社説明会（最短10月中に内定！）」</t>
        </is>
      </c>
      <c r="C7" s="24" t="inlineStr">
        <is>
          <t>マイナビ2027 原稿（インフラエンジニア、最終更新日2026/10/5）。提供いただいたHTML・PDF</t>
        </is>
      </c>
    </row>
    <row r="8" ht="100" customHeight="1">
      <c r="A8" s="18" t="inlineStr">
        <is>
          <t>仕事内容（インフラ）</t>
        </is>
      </c>
      <c r="B8" s="17" t="inlineStr">
        <is>
          <t>サーバー・ネットワーク・クラウドの設計、構築、監視・保守運用。基本業務から始め、構築・設計へステップアップ。将来はPM・ITコンサルタントも
働き方は2通り：お客様先のプロジェクトに参画／社内チームで要件整理から設計・構築・運用まで担当（受託開発あり・技術派遣あり）。リモートワークあり</t>
        </is>
      </c>
      <c r="C8" s="24" t="inlineStr">
        <is>
          <t>マイナビ2027 原稿（インフラエンジニア、最終更新日2026/10/5）。提供いただいたHTML・PDF</t>
        </is>
      </c>
    </row>
    <row r="9" ht="40" customHeight="1">
      <c r="A9" s="18" t="inlineStr">
        <is>
          <t>求める人物像</t>
        </is>
      </c>
      <c r="B9" s="17" t="inlineStr">
        <is>
          <t>主体的で、素直で、明るく努力できる人。知識量より、主体的に学び続ける姿勢と意欲を重視</t>
        </is>
      </c>
      <c r="C9" s="24" t="inlineStr">
        <is>
          <t>マイナビ2027 原稿（インフラエンジニア、最終更新日2026/10/5）。提供いただいたHTML・PDF</t>
        </is>
      </c>
    </row>
    <row r="10" ht="85" customHeight="1">
      <c r="A10" s="18" t="inlineStr">
        <is>
          <t>選考フロー</t>
        </is>
      </c>
      <c r="B10" s="17" t="inlineStr">
        <is>
          <t>マイナビでエントリー → 説明会（対面／WEB）→ MCBでES提出 → 一次選考（対面、遠方はWEB可）→ 最終選考（対面、遠方はWEB可）→ 内定
グループワーク・グループ面接なし。最終面接から1週間以内に結果連絡、内々定までの所要日数は1カ月以内</t>
        </is>
      </c>
      <c r="C10" s="24" t="inlineStr">
        <is>
          <t>マイナビ2027 原稿（インフラエンジニア、最終更新日2026/10/5）。提供いただいたHTML・PDF</t>
        </is>
      </c>
    </row>
    <row r="11" ht="85" customHeight="1">
      <c r="A11" s="18" t="inlineStr">
        <is>
          <t>待遇</t>
        </is>
      </c>
      <c r="B11" s="17" t="inlineStr">
        <is>
          <t>初任給（大卒）月給234,543円：基本給149,400円＋一律手当85,143円（住宅手当30,000円、業務手当10,000円、固定残業代30時間分45,143円）。超過分は別途支給
昇給年1回（6月）、賞与年1回（5月）＋決算賞与。年間休日125日、完全週休2日制（土日）、勤務時間10:00〜18:30（実働7.5時間）</t>
        </is>
      </c>
      <c r="C11" s="24" t="inlineStr">
        <is>
          <t>マイナビ2027 原稿（インフラエンジニア、最終更新日2026/10/5）。提供いただいたHTML・PDF</t>
        </is>
      </c>
    </row>
    <row r="12" ht="55" customHeight="1">
      <c r="A12" s="18" t="inlineStr">
        <is>
          <t>制度</t>
        </is>
      </c>
      <c r="B12" s="17" t="inlineStr">
        <is>
          <t>資格取得支援、自己啓発制度（通信講座・セミナー代）、PC購入費用補助、＋1評価制度（決算賞与の配分に反映）、コミュニティ制度（社員旅行・花見・BBQ・忘年会）、親睦会・健康管理費 月3,000円、育児支援</t>
        </is>
      </c>
      <c r="C12" s="24" t="inlineStr">
        <is>
          <t>マイナビ2027 原稿（インフラエンジニア、最終更新日2026/10/5）。提供いただいたHTML・PDF</t>
        </is>
      </c>
    </row>
    <row r="13" ht="40" customHeight="1">
      <c r="A13" s="18" t="inlineStr">
        <is>
          <t>学生との接点</t>
        </is>
      </c>
      <c r="B13" s="17" t="inlineStr">
        <is>
          <t>採用公式X、会社見学、先輩社員との質問会・懇談会、説明会には社長が出席</t>
        </is>
      </c>
      <c r="C13" s="24" t="inlineStr">
        <is>
          <t>マイナビ2027 原稿（インフラエンジニア、最終更新日2026/10/5）。提供いただいたHTML・PDF</t>
        </is>
      </c>
    </row>
    <row r="14" ht="40" customHeight="1">
      <c r="A14" s="18" t="inlineStr">
        <is>
          <t>所在地・問合せ</t>
        </is>
      </c>
      <c r="B14" s="17" t="inlineStr">
        <is>
          <t>東京都品川区東五反田1-21-13 ファーストスクエア五反田7F（各線五反田駅徒歩2分）。問合せ先はHR事業部</t>
        </is>
      </c>
      <c r="C14" s="24" t="inlineStr">
        <is>
          <t>マイナビ2027 原稿（インフラエンジニア、最終更新日2026/10/5）。提供いただいたHTML・PDF</t>
        </is>
      </c>
    </row>
    <row r="15" ht="40" customHeight="1">
      <c r="A15" s="18" t="inlineStr">
        <is>
          <t>創業・沿革</t>
        </is>
      </c>
      <c r="B15" s="17" t="inlineStr">
        <is>
          <t>1983年創業。建設コンサルタントから始まり、システムの受託開発、現在はスマートフォンアプリ開発に強み</t>
        </is>
      </c>
      <c r="C15" s="24" t="inlineStr">
        <is>
          <t>マイナビ2027 会社概要 https://job.mynavi.jp/27/pc/search/corp259361/outline.html</t>
        </is>
      </c>
    </row>
    <row r="16" ht="25" customHeight="1">
      <c r="A16" s="18" t="inlineStr">
        <is>
          <t>主な領域</t>
        </is>
      </c>
      <c r="B16" s="17" t="inlineStr">
        <is>
          <t>官公庁や金融機関などのインフラ事業が中心</t>
        </is>
      </c>
      <c r="C16" s="24" t="inlineStr">
        <is>
          <t>engage 採用ページ https://en-gage.net/ktcc_saiyo/</t>
        </is>
      </c>
    </row>
    <row r="17" ht="40" customHeight="1">
      <c r="A17" s="18" t="inlineStr">
        <is>
          <t>規模・拠点</t>
        </is>
      </c>
      <c r="B17" s="17" t="inlineStr">
        <is>
          <t>従業員97名（2026年6月時点）、売上高20億3,000万円（2026年5月期）、資本金2,000万円。大阪、ベトナムにも拠点</t>
        </is>
      </c>
      <c r="C17" s="24" t="inlineStr">
        <is>
          <t>マイナビ2027 会社概要 https://job.mynavi.jp/27/pc/search/corp259361/outline.html</t>
        </is>
      </c>
    </row>
    <row r="18" ht="85" customHeight="1">
      <c r="A18" s="18" t="inlineStr">
        <is>
          <t>研修・育成</t>
        </is>
      </c>
      <c r="B18" s="17" t="inlineStr">
        <is>
          <t>社長が講師を務める入社時研修（事業、ビジネスマナー、IT業界の仕組み）、基礎研修（PC初期設定、Excel・Wordなど）、資格取得研修、技術研修、プロジェクトを模擬するデジタルOJT
自社開発のITSS対応ツール「Skill Scouter」でスキルとキャリアパスを見える化</t>
        </is>
      </c>
      <c r="C18" s="24" t="inlineStr">
        <is>
          <t>engage 採用ページ https://en-gage.net/ktcc_saiyo/</t>
        </is>
      </c>
    </row>
    <row r="19" ht="55" customHeight="1">
      <c r="A19" s="18" t="inlineStr">
        <is>
          <t>学生が目にする外部情報</t>
        </is>
      </c>
      <c r="B19" s="17" t="inlineStr">
        <is>
          <t>口コミサイトの総合評価 1.9／5.0（14件）。学生が下調べで目にする可能性があるため、説明会・面接で働き方や研修の実態を具体的に伝える前提で設計</t>
        </is>
      </c>
      <c r="C19" s="24" t="inlineStr">
        <is>
          <t>キャリコネ https://careerconnection.jp/review/79029/jobinfo/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2026-10-19T05:46:04Z</dcterms:created>
  <dcterms:modified xmlns:dcterms="http://purl.org/dc/terms/" xmlns:xsi="http://www.w3.org/2001/XMLSchema-instance" xsi:type="dcterms:W3CDTF">2026-10-19T05:46:04Z</dcterms:modified>
</cp:coreProperties>
</file>